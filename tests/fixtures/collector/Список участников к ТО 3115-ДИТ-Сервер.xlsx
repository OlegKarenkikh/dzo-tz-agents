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1905957F-6843-4848-B581-25B6263E33B3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Сводная таблица" sheetId="1" r:id="rId1"/>
  </sheets>
  <definedNames>
    <definedName name="_xlnm.Print_Area" localSheetId="0">'Сводная таблица'!$A$1:$E$36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2" i="1" l="1"/>
  <c r="E31" i="1"/>
  <c r="D32" i="1"/>
  <c r="D31" i="1"/>
  <c r="C32" i="1"/>
  <c r="C31" i="1"/>
  <c r="C33" i="1" l="1"/>
  <c r="D33" i="1" l="1"/>
  <c r="E33" i="1"/>
</calcChain>
</file>

<file path=xl/sharedStrings.xml><?xml version="1.0" encoding="utf-8"?>
<sst xmlns="http://schemas.openxmlformats.org/spreadsheetml/2006/main" count="70" uniqueCount="60">
  <si>
    <t>Инициатор тендера</t>
  </si>
  <si>
    <t>Вид затрат</t>
  </si>
  <si>
    <t>Информация об участниках</t>
  </si>
  <si>
    <t>Участник 1</t>
  </si>
  <si>
    <t>Участник 2</t>
  </si>
  <si>
    <t>Наименование</t>
  </si>
  <si>
    <t>Адрес</t>
  </si>
  <si>
    <t>Телефон/факс</t>
  </si>
  <si>
    <t>Контактное лицо</t>
  </si>
  <si>
    <t>Электронная почта</t>
  </si>
  <si>
    <t>Сайт</t>
  </si>
  <si>
    <t>ИНН</t>
  </si>
  <si>
    <t>Дата регистрации компании</t>
  </si>
  <si>
    <t>Первый раунд запроса предложений</t>
  </si>
  <si>
    <t>Итоги запроса предложений</t>
  </si>
  <si>
    <t>Условия платежа</t>
  </si>
  <si>
    <t>Наличие NDA</t>
  </si>
  <si>
    <t>Второй раунд запроса предложений</t>
  </si>
  <si>
    <t>Скидка от первого раунда, Руб</t>
  </si>
  <si>
    <t>г. Москва, Дербеневская набережная д. 7, стр. 8</t>
  </si>
  <si>
    <t>105318, г. Москва, ул. Ибрагимова, д.31</t>
  </si>
  <si>
    <t>Участник 3</t>
  </si>
  <si>
    <t>АО "Ромашка"</t>
  </si>
  <si>
    <t>АО "Лютик"</t>
  </si>
  <si>
    <t>ООО "Гвоздика"</t>
  </si>
  <si>
    <t>Лот №1-ХХХХХ</t>
  </si>
  <si>
    <t>Лот №2-ХХХХХХХ</t>
  </si>
  <si>
    <t>Итого:</t>
  </si>
  <si>
    <t>Уставный капитал (рублей)</t>
  </si>
  <si>
    <t>Срок поставки</t>
  </si>
  <si>
    <t>Дополнительная информация</t>
  </si>
  <si>
    <t>Компетенция и квалификация/ Уровень партнера</t>
  </si>
  <si>
    <t>Оценочная стоимость (НМЦ)</t>
  </si>
  <si>
    <t>Дата ТК:</t>
  </si>
  <si>
    <t>НМЦ</t>
  </si>
  <si>
    <t>Референс-лист</t>
  </si>
  <si>
    <t>Заключение ДРМРРБ</t>
  </si>
  <si>
    <t>Выручка за 2024 год (млн. руб.)</t>
  </si>
  <si>
    <t>Средняя численность сотрудников (2024)</t>
  </si>
  <si>
    <t>Сводная таблица предложений ТО №3115-ДИТ-Сервер</t>
  </si>
  <si>
    <t>Иванов И.И.</t>
  </si>
  <si>
    <t>10100 "Серверное оборудование"</t>
  </si>
  <si>
    <t>Ингосстрах, 
Инго Банк, 
Сбер</t>
  </si>
  <si>
    <t>Ингосстрах,
ВТБ,
Согласие</t>
  </si>
  <si>
    <t>Инго Банк,
НПФ Социум,
Будь здоров</t>
  </si>
  <si>
    <t>8(900)456-78-90</t>
  </si>
  <si>
    <t>8(911)-123-45-67</t>
  </si>
  <si>
    <t>8(922)-345-54-89</t>
  </si>
  <si>
    <t>Петров П.П.</t>
  </si>
  <si>
    <t>Сидоров С.В.</t>
  </si>
  <si>
    <t>Иванов П.А.</t>
  </si>
  <si>
    <t>petrov@romashka.ru</t>
  </si>
  <si>
    <t>sidorov@lutik.ru</t>
  </si>
  <si>
    <t>ivanov@gvozdika.ru</t>
  </si>
  <si>
    <t>romashka.ru</t>
  </si>
  <si>
    <t>lutik.ru</t>
  </si>
  <si>
    <t>gvozdika.ru</t>
  </si>
  <si>
    <t>нет</t>
  </si>
  <si>
    <t>Возражений нет</t>
  </si>
  <si>
    <t>127055, г Москва, Новослободская улица, д.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</si>
</sst>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"/>
    <numFmt numFmtId="165" formatCode="#,##0.0"/>
    <numFmt numFmtId="166" formatCode="#,##0.00\ &quot;₽&quot;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5" fillId="0" borderId="5" xfId="0" applyFont="1" applyFill="1" applyBorder="1" applyAlignment="1">
      <alignment horizontal="left" vertical="center" wrapText="1" indent="1"/>
    </xf>
    <xf numFmtId="0" fontId="5" fillId="3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0" fontId="4" fillId="0" borderId="0" xfId="0" applyFont="1" applyAlignment="1">
      <alignment wrapText="1"/>
    </xf>
    <xf numFmtId="0" fontId="3" fillId="4" borderId="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1"/>
    </xf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5" borderId="6" xfId="0" applyFont="1" applyFill="1" applyBorder="1" applyAlignment="1">
      <alignment horizontal="left" vertical="center" wrapText="1" indent="1"/>
    </xf>
    <xf numFmtId="164" fontId="5" fillId="5" borderId="6" xfId="2" applyNumberFormat="1" applyFont="1" applyFill="1" applyBorder="1" applyAlignment="1">
      <alignment horizontal="center" vertical="center" wrapText="1"/>
    </xf>
    <xf numFmtId="165" fontId="5" fillId="5" borderId="6" xfId="2" applyNumberFormat="1" applyFont="1" applyFill="1" applyBorder="1" applyAlignment="1">
      <alignment horizontal="center" vertical="center" wrapText="1"/>
    </xf>
    <xf numFmtId="0" fontId="8" fillId="0" borderId="0" xfId="0" applyFont="1"/>
    <xf numFmtId="0" fontId="3" fillId="0" borderId="6" xfId="0" applyFont="1" applyFill="1" applyBorder="1" applyAlignment="1">
      <alignment horizontal="center" vertical="top" wrapText="1"/>
    </xf>
    <xf numFmtId="0" fontId="10" fillId="0" borderId="4" xfId="0" applyFont="1" applyBorder="1" applyAlignment="1">
      <alignment horizontal="left" vertical="center" wrapText="1" indent="1"/>
    </xf>
    <xf numFmtId="166" fontId="8" fillId="0" borderId="0" xfId="0" applyNumberFormat="1" applyFont="1"/>
    <xf numFmtId="0" fontId="11" fillId="0" borderId="4" xfId="0" applyFont="1" applyBorder="1" applyAlignment="1">
      <alignment horizontal="left" vertical="center" wrapText="1" indent="1"/>
    </xf>
    <xf numFmtId="0" fontId="8" fillId="0" borderId="0" xfId="0" applyFont="1" applyAlignment="1">
      <alignment horizontal="left"/>
    </xf>
    <xf numFmtId="166" fontId="8" fillId="0" borderId="0" xfId="0" applyNumberFormat="1" applyFont="1" applyBorder="1" applyAlignment="1">
      <alignment horizontal="right"/>
    </xf>
    <xf numFmtId="0" fontId="5" fillId="0" borderId="7" xfId="0" applyFont="1" applyBorder="1" applyAlignment="1">
      <alignment horizontal="left" vertical="center" wrapText="1" indent="1"/>
    </xf>
    <xf numFmtId="3" fontId="5" fillId="5" borderId="6" xfId="2" applyNumberFormat="1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 wrapText="1" indent="1"/>
    </xf>
    <xf numFmtId="0" fontId="4" fillId="6" borderId="3" xfId="0" applyFont="1" applyFill="1" applyBorder="1" applyAlignment="1">
      <alignment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/>
    </xf>
    <xf numFmtId="0" fontId="7" fillId="6" borderId="6" xfId="1" applyFill="1" applyBorder="1" applyAlignment="1">
      <alignment horizontal="center" vertical="center" wrapText="1"/>
    </xf>
    <xf numFmtId="14" fontId="5" fillId="6" borderId="6" xfId="0" applyNumberFormat="1" applyFont="1" applyFill="1" applyBorder="1" applyAlignment="1">
      <alignment horizontal="center" vertical="center" wrapText="1"/>
    </xf>
    <xf numFmtId="3" fontId="5" fillId="6" borderId="6" xfId="0" applyNumberFormat="1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/>
    </xf>
    <xf numFmtId="3" fontId="11" fillId="6" borderId="6" xfId="0" applyNumberFormat="1" applyFont="1" applyFill="1" applyBorder="1" applyAlignment="1">
      <alignment horizontal="center" vertical="center" wrapText="1"/>
    </xf>
    <xf numFmtId="3" fontId="10" fillId="6" borderId="6" xfId="0" applyNumberFormat="1" applyFont="1" applyFill="1" applyBorder="1" applyAlignment="1">
      <alignment horizontal="center" vertical="center" wrapText="1"/>
    </xf>
    <xf numFmtId="3" fontId="5" fillId="6" borderId="1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left" vertical="center" wrapText="1" indent="1"/>
    </xf>
    <xf numFmtId="0" fontId="5" fillId="0" borderId="10" xfId="0" applyFont="1" applyBorder="1" applyAlignment="1">
      <alignment horizontal="left" vertical="center" wrapText="1" indent="1"/>
    </xf>
    <xf numFmtId="0" fontId="5" fillId="0" borderId="8" xfId="0" applyFont="1" applyFill="1" applyBorder="1" applyAlignment="1">
      <alignment horizontal="left" vertical="center" wrapText="1" indent="1"/>
    </xf>
    <xf numFmtId="0" fontId="5" fillId="0" borderId="9" xfId="0" applyFont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 indent="1"/>
    </xf>
    <xf numFmtId="0" fontId="11" fillId="0" borderId="6" xfId="0" applyFont="1" applyBorder="1" applyAlignment="1">
      <alignment horizontal="left" vertical="center" wrapText="1" indent="1"/>
    </xf>
    <xf numFmtId="166" fontId="5" fillId="6" borderId="1" xfId="0" applyNumberFormat="1" applyFont="1" applyFill="1" applyBorder="1" applyAlignment="1">
      <alignment horizontal="center" vertical="center" wrapText="1"/>
    </xf>
    <xf numFmtId="14" fontId="4" fillId="6" borderId="6" xfId="0" applyNumberFormat="1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</cellXfs>
  <cellStyles count="3">
    <cellStyle name="Гиперссылка" xfId="1" builtinId="8"/>
    <cellStyle name="Обычный" xfId="0" builtinId="0"/>
    <cellStyle name="Процентный" xfId="2" builtinId="5"/>
  </cellStyles>
  <dxfs count="0"/>
  <tableStyles count="0" defaultTableStyle="TableStyleMedium2" defaultPivotStyle="PivotStyleLight16"/>
  <colors>
    <mruColors>
      <color rgb="FFCCFF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vanov@gvozdika.ru" TargetMode="External"/><Relationship Id="rId2" Type="http://schemas.openxmlformats.org/officeDocument/2006/relationships/hyperlink" Target="mailto:sidorov@lutik.ru" TargetMode="External"/><Relationship Id="rId1" Type="http://schemas.openxmlformats.org/officeDocument/2006/relationships/hyperlink" Target="mailto:petrov@romashka.ru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7"/>
  <sheetViews>
    <sheetView tabSelected="1" zoomScaleNormal="100" zoomScaleSheetLayoutView="100" workbookViewId="0">
      <pane xSplit="1" ySplit="6" topLeftCell="B7" activePane="bottomRight" state="frozen"/>
      <selection pane="topRight" activeCell="B1" sqref="B1"/>
      <selection pane="bottomLeft" activeCell="A8" sqref="A8"/>
      <selection pane="bottomRight" activeCell="H15" sqref="H15"/>
    </sheetView>
  </sheetViews>
  <sheetFormatPr defaultRowHeight="15" outlineLevelRow="1" x14ac:dyDescent="0.25"/>
  <cols>
    <col min="1" max="1" width="43.85546875" customWidth="1"/>
    <col min="2" max="2" width="10.7109375" customWidth="1"/>
    <col min="3" max="5" width="25.7109375" customWidth="1"/>
    <col min="7" max="7" width="13.140625" bestFit="1" customWidth="1"/>
  </cols>
  <sheetData>
    <row r="1" spans="1:5" ht="15.75" customHeight="1" x14ac:dyDescent="0.25">
      <c r="A1" s="46" t="s">
        <v>39</v>
      </c>
      <c r="B1" s="47"/>
      <c r="C1" s="47"/>
      <c r="D1" s="47"/>
      <c r="E1" s="47"/>
    </row>
    <row r="2" spans="1:5" ht="25.5" x14ac:dyDescent="0.25">
      <c r="A2" s="5" t="s">
        <v>1</v>
      </c>
      <c r="B2" s="38"/>
      <c r="C2" s="25" t="s">
        <v>41</v>
      </c>
      <c r="D2" s="36" t="s">
        <v>32</v>
      </c>
      <c r="E2" s="44">
        <v>5000000</v>
      </c>
    </row>
    <row r="3" spans="1:5" x14ac:dyDescent="0.25">
      <c r="A3" s="1" t="s">
        <v>33</v>
      </c>
      <c r="B3" s="39"/>
      <c r="C3" s="45">
        <v>46136</v>
      </c>
      <c r="D3" s="5" t="s">
        <v>0</v>
      </c>
      <c r="E3" s="35" t="s">
        <v>40</v>
      </c>
    </row>
    <row r="4" spans="1:5" x14ac:dyDescent="0.25">
      <c r="A4" s="2"/>
      <c r="B4" s="3"/>
      <c r="C4" s="3"/>
      <c r="D4" s="3"/>
      <c r="E4" s="3"/>
    </row>
    <row r="5" spans="1:5" x14ac:dyDescent="0.25">
      <c r="A5" s="16" t="s">
        <v>2</v>
      </c>
      <c r="B5" s="16"/>
      <c r="C5" s="8" t="s">
        <v>3</v>
      </c>
      <c r="D5" s="8" t="s">
        <v>4</v>
      </c>
      <c r="E5" s="8" t="s">
        <v>21</v>
      </c>
    </row>
    <row r="6" spans="1:5" x14ac:dyDescent="0.25">
      <c r="A6" s="4" t="s">
        <v>5</v>
      </c>
      <c r="B6" s="4"/>
      <c r="C6" s="26" t="s">
        <v>22</v>
      </c>
      <c r="D6" s="26" t="s">
        <v>23</v>
      </c>
      <c r="E6" s="26" t="s">
        <v>24</v>
      </c>
    </row>
    <row r="7" spans="1:5" x14ac:dyDescent="0.25">
      <c r="A7" s="5" t="s">
        <v>11</v>
      </c>
      <c r="B7" s="40"/>
      <c r="C7" s="26">
        <v>7702365551</v>
      </c>
      <c r="D7" s="26">
        <v>7702365751</v>
      </c>
      <c r="E7" s="26">
        <v>7704565559</v>
      </c>
    </row>
    <row r="8" spans="1:5" x14ac:dyDescent="0.25">
      <c r="A8" s="24" t="s">
        <v>31</v>
      </c>
      <c r="B8" s="24"/>
      <c r="C8" s="27"/>
      <c r="D8" s="27"/>
      <c r="E8" s="27"/>
    </row>
    <row r="9" spans="1:5" ht="38.25" x14ac:dyDescent="0.25">
      <c r="A9" s="24" t="s">
        <v>35</v>
      </c>
      <c r="B9" s="37"/>
      <c r="C9" s="27" t="s">
        <v>42</v>
      </c>
      <c r="D9" s="27" t="s">
        <v>43</v>
      </c>
      <c r="E9" s="27" t="s">
        <v>44</v>
      </c>
    </row>
    <row r="10" spans="1:5" ht="25.5" outlineLevel="1" x14ac:dyDescent="0.25">
      <c r="A10" s="5" t="s">
        <v>6</v>
      </c>
      <c r="B10" s="5"/>
      <c r="C10" s="27" t="s">
        <v>59</v>
      </c>
      <c r="D10" s="27" t="s">
        <v>19</v>
      </c>
      <c r="E10" s="27" t="s">
        <v>20</v>
      </c>
    </row>
    <row r="11" spans="1:5" outlineLevel="1" x14ac:dyDescent="0.25">
      <c r="A11" s="5" t="s">
        <v>7</v>
      </c>
      <c r="B11" s="5"/>
      <c r="C11" s="27" t="s">
        <v>45</v>
      </c>
      <c r="D11" s="27" t="s">
        <v>46</v>
      </c>
      <c r="E11" s="28" t="s">
        <v>47</v>
      </c>
    </row>
    <row r="12" spans="1:5" outlineLevel="1" x14ac:dyDescent="0.25">
      <c r="A12" s="5" t="s">
        <v>8</v>
      </c>
      <c r="B12" s="5"/>
      <c r="C12" s="27" t="s">
        <v>48</v>
      </c>
      <c r="D12" s="27" t="s">
        <v>49</v>
      </c>
      <c r="E12" s="27" t="s">
        <v>50</v>
      </c>
    </row>
    <row r="13" spans="1:5" ht="21.75" customHeight="1" outlineLevel="1" x14ac:dyDescent="0.25">
      <c r="A13" s="5" t="s">
        <v>9</v>
      </c>
      <c r="B13" s="5"/>
      <c r="C13" s="29" t="s">
        <v>51</v>
      </c>
      <c r="D13" s="29" t="s">
        <v>52</v>
      </c>
      <c r="E13" s="29" t="s">
        <v>53</v>
      </c>
    </row>
    <row r="14" spans="1:5" outlineLevel="1" x14ac:dyDescent="0.25">
      <c r="A14" s="5" t="s">
        <v>10</v>
      </c>
      <c r="B14" s="5"/>
      <c r="C14" s="29" t="s">
        <v>54</v>
      </c>
      <c r="D14" s="29" t="s">
        <v>55</v>
      </c>
      <c r="E14" s="29" t="s">
        <v>56</v>
      </c>
    </row>
    <row r="15" spans="1:5" x14ac:dyDescent="0.25">
      <c r="A15" s="5" t="s">
        <v>12</v>
      </c>
      <c r="B15" s="5"/>
      <c r="C15" s="30">
        <v>37956</v>
      </c>
      <c r="D15" s="30">
        <v>38860</v>
      </c>
      <c r="E15" s="30">
        <v>42188</v>
      </c>
    </row>
    <row r="16" spans="1:5" x14ac:dyDescent="0.25">
      <c r="A16" s="5" t="s">
        <v>28</v>
      </c>
      <c r="B16" s="9"/>
      <c r="C16" s="31">
        <v>10000</v>
      </c>
      <c r="D16" s="31">
        <v>10000</v>
      </c>
      <c r="E16" s="31">
        <v>10000</v>
      </c>
    </row>
    <row r="17" spans="1:7" x14ac:dyDescent="0.25">
      <c r="A17" s="9" t="s">
        <v>38</v>
      </c>
      <c r="B17" s="9"/>
      <c r="C17" s="31">
        <v>234</v>
      </c>
      <c r="D17" s="31">
        <v>124</v>
      </c>
      <c r="E17" s="31">
        <v>45</v>
      </c>
    </row>
    <row r="18" spans="1:7" x14ac:dyDescent="0.25">
      <c r="A18" s="9" t="s">
        <v>37</v>
      </c>
      <c r="B18" s="9"/>
      <c r="C18" s="31">
        <v>45</v>
      </c>
      <c r="D18" s="31">
        <v>67</v>
      </c>
      <c r="E18" s="31">
        <v>55</v>
      </c>
    </row>
    <row r="19" spans="1:7" x14ac:dyDescent="0.25">
      <c r="A19" s="9" t="s">
        <v>16</v>
      </c>
      <c r="B19" s="9"/>
      <c r="C19" s="32" t="s">
        <v>57</v>
      </c>
      <c r="D19" s="27" t="s">
        <v>57</v>
      </c>
      <c r="E19" s="32" t="s">
        <v>57</v>
      </c>
    </row>
    <row r="20" spans="1:7" x14ac:dyDescent="0.25">
      <c r="A20" s="22" t="s">
        <v>36</v>
      </c>
      <c r="B20" s="22"/>
      <c r="C20" s="32" t="s">
        <v>58</v>
      </c>
      <c r="D20" s="27" t="s">
        <v>58</v>
      </c>
      <c r="E20" s="32" t="s">
        <v>58</v>
      </c>
    </row>
    <row r="21" spans="1:7" x14ac:dyDescent="0.25">
      <c r="A21" s="9" t="s">
        <v>30</v>
      </c>
      <c r="B21" s="9"/>
      <c r="C21" s="27"/>
      <c r="D21" s="27"/>
      <c r="E21" s="27"/>
    </row>
    <row r="22" spans="1:7" x14ac:dyDescent="0.25">
      <c r="A22" s="10" t="s">
        <v>13</v>
      </c>
      <c r="B22" s="41" t="s">
        <v>34</v>
      </c>
      <c r="C22" s="11"/>
      <c r="D22" s="11"/>
      <c r="E22" s="11"/>
    </row>
    <row r="23" spans="1:7" x14ac:dyDescent="0.25">
      <c r="A23" s="17" t="s">
        <v>25</v>
      </c>
      <c r="B23" s="42"/>
      <c r="C23" s="34"/>
      <c r="D23" s="34"/>
      <c r="E23" s="34"/>
      <c r="F23" s="15"/>
      <c r="G23" s="18"/>
    </row>
    <row r="24" spans="1:7" x14ac:dyDescent="0.25">
      <c r="A24" s="17" t="s">
        <v>26</v>
      </c>
      <c r="B24" s="42"/>
      <c r="C24" s="34"/>
      <c r="D24" s="34"/>
      <c r="E24" s="34"/>
      <c r="F24" s="15"/>
      <c r="G24" s="18"/>
    </row>
    <row r="25" spans="1:7" x14ac:dyDescent="0.25">
      <c r="A25" s="19" t="s">
        <v>27</v>
      </c>
      <c r="B25" s="43"/>
      <c r="C25" s="33"/>
      <c r="D25" s="33"/>
      <c r="E25" s="33"/>
      <c r="F25" s="15"/>
      <c r="G25" s="18"/>
    </row>
    <row r="26" spans="1:7" s="6" customFormat="1" x14ac:dyDescent="0.25">
      <c r="A26" s="12" t="s">
        <v>17</v>
      </c>
      <c r="B26" s="12"/>
      <c r="C26" s="23"/>
      <c r="D26" s="23"/>
      <c r="E26" s="23"/>
      <c r="F26" s="20"/>
      <c r="G26" s="21"/>
    </row>
    <row r="27" spans="1:7" s="6" customFormat="1" x14ac:dyDescent="0.25">
      <c r="A27" s="17" t="s">
        <v>25</v>
      </c>
      <c r="B27" s="42"/>
      <c r="C27" s="34"/>
      <c r="D27" s="34"/>
      <c r="E27" s="34"/>
      <c r="F27" s="15"/>
      <c r="G27" s="18"/>
    </row>
    <row r="28" spans="1:7" s="6" customFormat="1" x14ac:dyDescent="0.25">
      <c r="A28" s="17" t="s">
        <v>26</v>
      </c>
      <c r="B28" s="42"/>
      <c r="C28" s="34"/>
      <c r="D28" s="34"/>
      <c r="E28" s="34"/>
      <c r="F28" s="15"/>
      <c r="G28" s="18"/>
    </row>
    <row r="29" spans="1:7" s="6" customFormat="1" x14ac:dyDescent="0.25">
      <c r="A29" s="19" t="s">
        <v>27</v>
      </c>
      <c r="B29" s="43"/>
      <c r="C29" s="33"/>
      <c r="D29" s="33"/>
      <c r="E29" s="33"/>
      <c r="F29" s="15"/>
      <c r="G29" s="18"/>
    </row>
    <row r="30" spans="1:7" s="6" customFormat="1" x14ac:dyDescent="0.25">
      <c r="A30" s="12" t="s">
        <v>18</v>
      </c>
      <c r="B30" s="12"/>
      <c r="C30" s="23"/>
      <c r="D30" s="23"/>
      <c r="E30" s="23"/>
      <c r="F30" s="20"/>
      <c r="G30" s="21"/>
    </row>
    <row r="31" spans="1:7" s="6" customFormat="1" x14ac:dyDescent="0.25">
      <c r="A31" s="17" t="s">
        <v>25</v>
      </c>
      <c r="B31" s="42"/>
      <c r="C31" s="33">
        <f t="shared" ref="C31:E33" si="0">C23-C27</f>
        <v>0</v>
      </c>
      <c r="D31" s="33">
        <f t="shared" si="0"/>
        <v>0</v>
      </c>
      <c r="E31" s="33">
        <f t="shared" si="0"/>
        <v>0</v>
      </c>
      <c r="F31" s="15"/>
      <c r="G31" s="15"/>
    </row>
    <row r="32" spans="1:7" s="6" customFormat="1" x14ac:dyDescent="0.25">
      <c r="A32" s="17" t="s">
        <v>26</v>
      </c>
      <c r="B32" s="42"/>
      <c r="C32" s="33">
        <f t="shared" si="0"/>
        <v>0</v>
      </c>
      <c r="D32" s="33">
        <f t="shared" si="0"/>
        <v>0</v>
      </c>
      <c r="E32" s="33">
        <f t="shared" si="0"/>
        <v>0</v>
      </c>
      <c r="F32" s="15"/>
      <c r="G32" s="15"/>
    </row>
    <row r="33" spans="1:7" s="6" customFormat="1" x14ac:dyDescent="0.25">
      <c r="A33" s="19" t="s">
        <v>27</v>
      </c>
      <c r="B33" s="43"/>
      <c r="C33" s="33">
        <f t="shared" si="0"/>
        <v>0</v>
      </c>
      <c r="D33" s="33">
        <f t="shared" si="0"/>
        <v>0</v>
      </c>
      <c r="E33" s="33">
        <f t="shared" si="0"/>
        <v>0</v>
      </c>
      <c r="F33" s="15"/>
      <c r="G33" s="15"/>
    </row>
    <row r="34" spans="1:7" s="6" customFormat="1" x14ac:dyDescent="0.25">
      <c r="A34" s="12" t="s">
        <v>14</v>
      </c>
      <c r="B34" s="12"/>
      <c r="C34" s="13"/>
      <c r="D34" s="14"/>
      <c r="E34" s="13"/>
    </row>
    <row r="35" spans="1:7" s="6" customFormat="1" x14ac:dyDescent="0.25">
      <c r="A35" s="5" t="s">
        <v>15</v>
      </c>
      <c r="B35" s="5"/>
      <c r="C35" s="27"/>
      <c r="D35" s="27"/>
      <c r="E35" s="27"/>
    </row>
    <row r="36" spans="1:7" s="6" customFormat="1" x14ac:dyDescent="0.25">
      <c r="A36" s="5" t="s">
        <v>29</v>
      </c>
      <c r="B36" s="5"/>
      <c r="C36" s="27"/>
      <c r="D36" s="27"/>
      <c r="E36" s="27"/>
    </row>
    <row r="37" spans="1:7" x14ac:dyDescent="0.25">
      <c r="A37" s="7"/>
      <c r="B37" s="7"/>
      <c r="C37" s="7"/>
      <c r="D37" s="7"/>
      <c r="E37" s="7"/>
    </row>
  </sheetData>
  <mergeCells count="1">
    <mergeCell ref="A1:E1"/>
  </mergeCells>
  <hyperlinks>
    <hyperlink ref="C13" r:id="rId1" xr:uid="{2829F14A-679C-4662-B336-318B6A1C49C3}"/>
    <hyperlink ref="D13" r:id="rId2" xr:uid="{730BF2B9-457D-4D29-A145-C7CA300C8244}"/>
    <hyperlink ref="E13" r:id="rId3" xr:uid="{175042E1-93E4-4044-A6D6-04A5F826C9F4}"/>
  </hyperlinks>
  <pageMargins left="0" right="0" top="0.35433070866141736" bottom="0.35433070866141736" header="0.31496062992125984" footer="0.31496062992125984"/>
  <pageSetup scale="68" orientation="landscape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Сводная таблица</vt:lpstr>
      <vt:lpstr>'Сводная таблица'!Область_печати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2026-03-18T08:11:13Z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f0b804-62e0-47d9-bc61-31b566d2ec1e_Enabled">
    <vt:lpwstr>true</vt:lpwstr>
  </property>
  <property fmtid="{D5CDD505-2E9C-101B-9397-08002B2CF9AE}" pid="3" name="MSIP_Label_22f0b804-62e0-47d9-bc61-31b566d2ec1e_SetDate">
    <vt:lpwstr>2021-09-14T09:19:21Z</vt:lpwstr>
  </property>
  <property fmtid="{D5CDD505-2E9C-101B-9397-08002B2CF9AE}" pid="4" name="MSIP_Label_22f0b804-62e0-47d9-bc61-31b566d2ec1e_Method">
    <vt:lpwstr>Privileged</vt:lpwstr>
  </property>
  <property fmtid="{D5CDD505-2E9C-101B-9397-08002B2CF9AE}" pid="5" name="MSIP_Label_22f0b804-62e0-47d9-bc61-31b566d2ec1e_Name">
    <vt:lpwstr>22f0b804-62e0-47d9-bc61-31b566d2ec1e</vt:lpwstr>
  </property>
  <property fmtid="{D5CDD505-2E9C-101B-9397-08002B2CF9AE}" pid="6" name="MSIP_Label_22f0b804-62e0-47d9-bc61-31b566d2ec1e_SiteId">
    <vt:lpwstr>818b099f-45a1-4ad0-a663-221661b546d1</vt:lpwstr>
  </property>
  <property fmtid="{D5CDD505-2E9C-101B-9397-08002B2CF9AE}" pid="7" name="MSIP_Label_22f0b804-62e0-47d9-bc61-31b566d2ec1e_ContentBits">
    <vt:lpwstr>0</vt:lpwstr>
  </property>
  <property fmtid="{D5CDD505-2E9C-101B-9397-08002B2CF9AE}" pid="8" name="SI-CLASSIFIER-LABEL0">
    <vt:lpwstr>7Jl/QBvqGLObLtwhdb4Lkx+skuwYvsRoVCDfMObmp3zVxfeNeXZ4MUSCAPEJlwqtjOnmI9Mqr07vOMhbSDhEHRZjsQ9u4o7gt2dv4b7fbNuddafxHvQ3CcCyL339jhTc0PDygs3cDAsHJul0r2UfF2YWBKva89iQYeRCgM2NrhbmVwLg85VJ+wcEyJNwzwMDVHLBDzrgAEUxoSSZSwpGJNw48+IrbC4ELw6pis2Q5pQNjYuu0UX2ouKTD3CvSSm</vt:lpwstr>
  </property>
  <property fmtid="{D5CDD505-2E9C-101B-9397-08002B2CF9AE}" pid="9" name="SI-CLASSIFIER-LABEL1">
    <vt:lpwstr>E1l1+9RwmYUb/PWwpm+xGSumBpY0a4BmhZSRb9B3Gxt8=</vt:lpwstr>
  </property>
</Properties>
</file>